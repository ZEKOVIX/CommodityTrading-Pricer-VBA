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22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anilozekovik/Desktop/"/>
    </mc:Choice>
  </mc:AlternateContent>
  <xr:revisionPtr revIDLastSave="0" documentId="13_ncr:1_{0EEBA7A0-E706-BA4B-B618-CF5570A61CBD}" xr6:coauthVersionLast="47" xr6:coauthVersionMax="47" xr10:uidLastSave="{00000000-0000-0000-0000-000000000000}"/>
  <bookViews>
    <workbookView xWindow="0" yWindow="680" windowWidth="29400" windowHeight="16640" activeTab="1" xr2:uid="{95F7B2F5-4746-1B41-A768-CFC37C4469B4}"/>
  </bookViews>
  <sheets>
    <sheet name="PRICER" sheetId="1" r:id="rId1"/>
    <sheet name="DB_TRAD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" l="1"/>
</calcChain>
</file>

<file path=xl/sharedStrings.xml><?xml version="1.0" encoding="utf-8"?>
<sst xmlns="http://schemas.openxmlformats.org/spreadsheetml/2006/main" count="32" uniqueCount="27">
  <si>
    <t>MARKET DATA</t>
  </si>
  <si>
    <t>VOLUME (MT)</t>
  </si>
  <si>
    <t>TRD-2</t>
  </si>
  <si>
    <t>$/MT</t>
  </si>
  <si>
    <t>EUR/USD</t>
  </si>
  <si>
    <t>TRD-3</t>
  </si>
  <si>
    <t>TRD-4</t>
  </si>
  <si>
    <t>TRD-5</t>
  </si>
  <si>
    <t>Coca-Cola HBC</t>
  </si>
  <si>
    <t>Ferrero International</t>
  </si>
  <si>
    <t>Danone Group</t>
  </si>
  <si>
    <t>Mondelez Intl</t>
  </si>
  <si>
    <t>$</t>
  </si>
  <si>
    <t>Sugar Future Price</t>
  </si>
  <si>
    <t>EUR/USD Exchange Rate</t>
  </si>
  <si>
    <t>Physical Premium (Basis)</t>
  </si>
  <si>
    <t>Freight (Shipping)</t>
  </si>
  <si>
    <t>Insurance &amp; Losses</t>
  </si>
  <si>
    <t>Financing Cost</t>
  </si>
  <si>
    <t>Trader Margin</t>
  </si>
  <si>
    <t>CLIENT PRICE (CIF)</t>
  </si>
  <si>
    <t>TIMESTAMP</t>
  </si>
  <si>
    <t>COUNTERPARTY</t>
  </si>
  <si>
    <t xml:space="preserve">TRADE ID </t>
  </si>
  <si>
    <t>PRICE ($/MT)</t>
  </si>
  <si>
    <t>MARGIN ($/MT)</t>
  </si>
  <si>
    <t>TOTAL PnL ($)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</si>
</sst>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 * #,##0.00_)\ &quot;€&quot;_ ;_ * \(#,##0.00\)\ &quot;€&quot;_ ;_ * &quot;-&quot;??_)\ &quot;€&quot;_ ;_ @_ "/>
    <numFmt numFmtId="164" formatCode="_([$$-409]* #,##0.00_);_([$$-409]* \(#,##0.00\);_([$$-409]* &quot;-&quot;??_);_(@_)"/>
    <numFmt numFmtId="165" formatCode="&quot;€&quot;#,##0.00"/>
    <numFmt numFmtId="166" formatCode="[$$-409]#,##0.00"/>
  </numFmts>
  <fonts count="15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5"/>
      <name val="Calibri"/>
      <family val="2"/>
    </font>
    <font>
      <b/>
      <sz val="11"/>
      <color theme="5"/>
      <name val="Calibri"/>
      <family val="2"/>
    </font>
    <font>
      <sz val="11"/>
      <color theme="5"/>
      <name val="Calibri"/>
      <family val="2"/>
    </font>
    <font>
      <sz val="10"/>
      <color theme="5"/>
      <name val="Calibri"/>
      <family val="2"/>
    </font>
    <font>
      <b/>
      <u/>
      <sz val="11"/>
      <color theme="5"/>
      <name val="Calibri"/>
      <family val="2"/>
    </font>
    <font>
      <i/>
      <sz val="10"/>
      <color theme="5"/>
      <name val="Calibri"/>
      <family val="2"/>
    </font>
    <font>
      <b/>
      <sz val="14"/>
      <color theme="5"/>
      <name val="Calibri"/>
      <family val="2"/>
    </font>
    <font>
      <b/>
      <i/>
      <sz val="14"/>
      <color theme="5"/>
      <name val="Calibri"/>
      <family val="2"/>
    </font>
    <font>
      <b/>
      <i/>
      <sz val="18"/>
      <color theme="5"/>
      <name val="Calibri"/>
      <family val="2"/>
    </font>
    <font>
      <sz val="12"/>
      <color theme="5"/>
      <name val="Aptos Narrow"/>
      <family val="2"/>
      <scheme val="minor"/>
    </font>
    <font>
      <i/>
      <sz val="12"/>
      <color theme="5"/>
      <name val="Aptos Narrow"/>
      <family val="2"/>
      <scheme val="minor"/>
    </font>
    <font>
      <b/>
      <i/>
      <sz val="12"/>
      <color theme="5"/>
      <name val="Aptos Narrow"/>
      <family val="2"/>
      <scheme val="minor"/>
    </font>
    <font>
      <i/>
      <sz val="11"/>
      <color theme="5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theme="5"/>
      </bottom>
      <diagonal/>
    </border>
    <border>
      <left/>
      <right/>
      <top style="medium">
        <color indexed="64"/>
      </top>
      <bottom style="thin">
        <color theme="5"/>
      </bottom>
      <diagonal/>
    </border>
    <border>
      <left/>
      <right style="medium">
        <color indexed="64"/>
      </right>
      <top style="medium">
        <color indexed="64"/>
      </top>
      <bottom style="thin">
        <color theme="5"/>
      </bottom>
      <diagonal/>
    </border>
    <border>
      <left style="medium">
        <color indexed="64"/>
      </left>
      <right style="medium">
        <color indexed="64"/>
      </right>
      <top/>
      <bottom style="thin">
        <color theme="5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5"/>
      </bottom>
      <diagonal/>
    </border>
    <border>
      <left/>
      <right style="medium">
        <color indexed="64"/>
      </right>
      <top/>
      <bottom style="thin">
        <color theme="5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0">
    <xf numFmtId="0" fontId="0" fillId="0" borderId="0" xfId="0"/>
    <xf numFmtId="0" fontId="3" fillId="2" borderId="0" xfId="0" applyFont="1" applyFill="1"/>
    <xf numFmtId="0" fontId="5" fillId="2" borderId="2" xfId="0" applyFont="1" applyFill="1" applyBorder="1" applyAlignment="1">
      <alignment horizontal="left" vertical="center"/>
    </xf>
    <xf numFmtId="0" fontId="4" fillId="2" borderId="0" xfId="0" applyFont="1" applyFill="1"/>
    <xf numFmtId="0" fontId="4" fillId="2" borderId="5" xfId="0" applyFont="1" applyFill="1" applyBorder="1"/>
    <xf numFmtId="0" fontId="6" fillId="2" borderId="5" xfId="0" applyFont="1" applyFill="1" applyBorder="1" applyAlignment="1">
      <alignment horizontal="center"/>
    </xf>
    <xf numFmtId="0" fontId="4" fillId="2" borderId="0" xfId="0" applyFont="1" applyFill="1" applyAlignment="1">
      <alignment horizontal="left" vertical="top"/>
    </xf>
    <xf numFmtId="0" fontId="7" fillId="2" borderId="2" xfId="0" applyFont="1" applyFill="1" applyBorder="1" applyAlignment="1">
      <alignment horizontal="left" vertical="center"/>
    </xf>
    <xf numFmtId="0" fontId="11" fillId="2" borderId="0" xfId="0" applyFont="1" applyFill="1"/>
    <xf numFmtId="0" fontId="12" fillId="2" borderId="1" xfId="0" applyFont="1" applyFill="1" applyBorder="1"/>
    <xf numFmtId="22" fontId="12" fillId="2" borderId="1" xfId="0" applyNumberFormat="1" applyFont="1" applyFill="1" applyBorder="1"/>
    <xf numFmtId="0" fontId="13" fillId="2" borderId="1" xfId="0" applyFont="1" applyFill="1" applyBorder="1" applyAlignment="1">
      <alignment horizontal="center"/>
    </xf>
    <xf numFmtId="0" fontId="12" fillId="2" borderId="1" xfId="1" applyNumberFormat="1" applyFont="1" applyFill="1" applyBorder="1"/>
    <xf numFmtId="0" fontId="14" fillId="2" borderId="1" xfId="0" applyFont="1" applyFill="1" applyBorder="1" applyAlignment="1">
      <alignment horizontal="center" vertical="center"/>
    </xf>
    <xf numFmtId="2" fontId="9" fillId="2" borderId="10" xfId="0" applyNumberFormat="1" applyFont="1" applyFill="1" applyBorder="1" applyAlignment="1">
      <alignment horizontal="left" vertical="top"/>
    </xf>
    <xf numFmtId="164" fontId="10" fillId="2" borderId="11" xfId="0" applyNumberFormat="1" applyFont="1" applyFill="1" applyBorder="1" applyAlignment="1">
      <alignment vertical="top"/>
    </xf>
    <xf numFmtId="0" fontId="5" fillId="2" borderId="13" xfId="0" applyFont="1" applyFill="1" applyBorder="1" applyAlignment="1">
      <alignment horizontal="left" vertical="center"/>
    </xf>
    <xf numFmtId="0" fontId="4" fillId="2" borderId="9" xfId="0" applyFont="1" applyFill="1" applyBorder="1"/>
    <xf numFmtId="0" fontId="8" fillId="2" borderId="10" xfId="0" applyFont="1" applyFill="1" applyBorder="1" applyAlignment="1">
      <alignment horizontal="left" vertical="top"/>
    </xf>
    <xf numFmtId="2" fontId="4" fillId="2" borderId="3" xfId="0" applyNumberFormat="1" applyFont="1" applyFill="1" applyBorder="1" applyAlignment="1">
      <alignment horizontal="left" vertical="top"/>
    </xf>
    <xf numFmtId="0" fontId="4" fillId="2" borderId="4" xfId="0" applyFont="1" applyFill="1" applyBorder="1" applyAlignment="1">
      <alignment horizontal="left" vertical="top"/>
    </xf>
    <xf numFmtId="0" fontId="4" fillId="2" borderId="12" xfId="0" applyFont="1" applyFill="1" applyBorder="1" applyAlignment="1">
      <alignment horizontal="left" vertical="top"/>
    </xf>
    <xf numFmtId="0" fontId="2" fillId="2" borderId="6" xfId="0" applyFont="1" applyFill="1" applyBorder="1" applyAlignment="1">
      <alignment horizontal="left" vertical="center"/>
    </xf>
    <xf numFmtId="0" fontId="2" fillId="2" borderId="7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164" fontId="14" fillId="2" borderId="1" xfId="0" applyNumberFormat="1" applyFont="1" applyFill="1" applyBorder="1" applyAlignment="1">
      <alignment horizontal="center" vertical="center"/>
    </xf>
    <xf numFmtId="164" fontId="12" fillId="2" borderId="1" xfId="1" applyNumberFormat="1" applyFont="1" applyFill="1" applyBorder="1"/>
    <xf numFmtId="164" fontId="12" fillId="2" borderId="1" xfId="0" applyNumberFormat="1" applyFont="1" applyFill="1" applyBorder="1"/>
    <xf numFmtId="165" fontId="12" fillId="2" borderId="1" xfId="1" applyNumberFormat="1" applyFont="1" applyFill="1" applyBorder="1"/>
    <xf numFmtId="166" fontId="12" fillId="2" borderId="1" xfId="1" applyNumberFormat="1" applyFont="1" applyFill="1" applyBorder="1"/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941294</xdr:colOff>
      <xdr:row>12</xdr:row>
      <xdr:rowOff>52294</xdr:rowOff>
    </xdr:from>
    <xdr:to>
      <xdr:col>2</xdr:col>
      <xdr:colOff>179294</xdr:colOff>
      <xdr:row>15</xdr:row>
      <xdr:rowOff>32488</xdr:rowOff>
    </xdr:to>
    <xdr:sp macro="[0]!BookDeal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2296F140-0999-784A-3A32-A8A5328ECF9E}"/>
            </a:ext>
          </a:extLst>
        </xdr:cNvPr>
        <xdr:cNvSpPr/>
      </xdr:nvSpPr>
      <xdr:spPr>
        <a:xfrm>
          <a:off x="941294" y="3369235"/>
          <a:ext cx="4377765" cy="809429"/>
        </a:xfrm>
        <a:prstGeom prst="roundRect">
          <a:avLst>
            <a:gd name="adj" fmla="val 50000"/>
          </a:avLst>
        </a:prstGeom>
        <a:solidFill>
          <a:schemeClr val="tx1"/>
        </a:solidFill>
        <a:ln w="38100">
          <a:solidFill>
            <a:schemeClr val="accent2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chemeClr val="accent2"/>
              </a:solidFill>
            </a:rPr>
            <a:t>BOOK DEAL</a:t>
          </a:r>
        </a:p>
        <a:p>
          <a:pPr algn="ctr"/>
          <a:endParaRPr lang="fr-FR" sz="1100">
            <a:solidFill>
              <a:schemeClr val="accent2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1158-5D7B-D749-AC77-62953B928E6D}">
  <sheetPr codeName="Feuil1"/>
  <dimension ref="A1:D26"/>
  <sheetViews>
    <sheetView showGridLines="0" zoomScale="170" zoomScaleNormal="170" workbookViewId="0">
      <selection activeCell="F11" sqref="F11"/>
    </sheetView>
  </sheetViews>
  <sheetFormatPr baseColWidth="10" defaultRowHeight="22" customHeight="1" x14ac:dyDescent="0.2"/>
  <cols>
    <col min="1" max="1" width="26.1640625" style="3" customWidth="1"/>
    <col min="2" max="2" width="16.83203125" style="6" customWidth="1"/>
    <col min="3" max="3" width="7.83203125" style="3" customWidth="1"/>
    <col min="4" max="16384" width="10.83203125" style="3"/>
  </cols>
  <sheetData>
    <row r="1" spans="1:3" s="1" customFormat="1" ht="22" customHeight="1" x14ac:dyDescent="0.2">
      <c r="A1" s="22" t="s">
        <v>0</v>
      </c>
      <c r="B1" s="23"/>
      <c r="C1" s="24"/>
    </row>
    <row r="2" spans="1:3" ht="22" customHeight="1" x14ac:dyDescent="0.2">
      <c r="A2" s="4" t="s">
        <v>13</v>
      </c>
      <c r="B2" s="19">
        <v>433.63</v>
      </c>
      <c r="C2" s="2" t="s">
        <v>3</v>
      </c>
    </row>
    <row r="3" spans="1:3" ht="22" customHeight="1" x14ac:dyDescent="0.2">
      <c r="A3" s="4" t="s">
        <v>14</v>
      </c>
      <c r="B3" s="20">
        <v>1.1599999999999999</v>
      </c>
      <c r="C3" s="2" t="s">
        <v>4</v>
      </c>
    </row>
    <row r="4" spans="1:3" ht="22" customHeight="1" x14ac:dyDescent="0.2">
      <c r="A4" s="5"/>
      <c r="C4" s="7"/>
    </row>
    <row r="5" spans="1:3" ht="22" customHeight="1" x14ac:dyDescent="0.2">
      <c r="A5" s="4" t="s">
        <v>15</v>
      </c>
      <c r="B5" s="20">
        <v>18.5</v>
      </c>
      <c r="C5" s="2" t="s">
        <v>3</v>
      </c>
    </row>
    <row r="6" spans="1:3" ht="22" customHeight="1" x14ac:dyDescent="0.2">
      <c r="A6" s="4" t="s">
        <v>16</v>
      </c>
      <c r="B6" s="20">
        <v>36</v>
      </c>
      <c r="C6" s="2" t="s">
        <v>3</v>
      </c>
    </row>
    <row r="7" spans="1:3" ht="22" customHeight="1" x14ac:dyDescent="0.2">
      <c r="A7" s="4" t="s">
        <v>17</v>
      </c>
      <c r="B7" s="20">
        <v>1.85</v>
      </c>
      <c r="C7" s="2" t="s">
        <v>3</v>
      </c>
    </row>
    <row r="8" spans="1:3" ht="22" customHeight="1" x14ac:dyDescent="0.2">
      <c r="A8" s="5"/>
      <c r="C8" s="7"/>
    </row>
    <row r="9" spans="1:3" ht="22" customHeight="1" x14ac:dyDescent="0.2">
      <c r="A9" s="4" t="s">
        <v>18</v>
      </c>
      <c r="B9" s="20">
        <v>2.95</v>
      </c>
      <c r="C9" s="2" t="s">
        <v>3</v>
      </c>
    </row>
    <row r="10" spans="1:3" ht="22" customHeight="1" x14ac:dyDescent="0.2">
      <c r="A10" s="5"/>
      <c r="C10" s="7"/>
    </row>
    <row r="11" spans="1:3" ht="22" customHeight="1" x14ac:dyDescent="0.2">
      <c r="A11" s="17" t="s">
        <v>19</v>
      </c>
      <c r="B11" s="21">
        <v>1.5</v>
      </c>
      <c r="C11" s="16" t="s">
        <v>3</v>
      </c>
    </row>
    <row r="12" spans="1:3" ht="22" customHeight="1" thickBot="1" x14ac:dyDescent="0.25">
      <c r="A12" s="18" t="s">
        <v>20</v>
      </c>
      <c r="B12" s="14">
        <f>B2 + B5 + B6 + B7 + B9 + B11</f>
        <v>494.43</v>
      </c>
      <c r="C12" s="15" t="s">
        <v>12</v>
      </c>
    </row>
    <row r="19" spans="1:4" ht="22" customHeight="1" x14ac:dyDescent="0.2">
      <c r="A19" s="1"/>
      <c r="B19" s="1"/>
      <c r="C19" s="1"/>
      <c r="D19" s="1"/>
    </row>
    <row r="20" spans="1:4" ht="22" customHeight="1" x14ac:dyDescent="0.2">
      <c r="A20" s="1"/>
      <c r="B20" s="1"/>
      <c r="C20" s="1"/>
    </row>
    <row r="21" spans="1:4" ht="22" customHeight="1" x14ac:dyDescent="0.2">
      <c r="A21" s="1"/>
      <c r="B21" s="1"/>
      <c r="C21" s="1"/>
    </row>
    <row r="22" spans="1:4" ht="22" customHeight="1" x14ac:dyDescent="0.2">
      <c r="A22" s="1"/>
      <c r="B22" s="1"/>
      <c r="C22" s="1"/>
    </row>
    <row r="23" spans="1:4" ht="22" customHeight="1" x14ac:dyDescent="0.2">
      <c r="A23" s="1"/>
      <c r="B23" s="1"/>
      <c r="C23" s="1"/>
    </row>
    <row r="24" spans="1:4" ht="22" customHeight="1" x14ac:dyDescent="0.2">
      <c r="A24" s="1"/>
      <c r="B24" s="1"/>
      <c r="C24" s="1"/>
    </row>
    <row r="25" spans="1:4" ht="22" customHeight="1" x14ac:dyDescent="0.2">
      <c r="A25" s="1"/>
      <c r="B25" s="1"/>
      <c r="C25" s="1"/>
    </row>
    <row r="26" spans="1:4" ht="22" customHeight="1" x14ac:dyDescent="0.2">
      <c r="A26" s="1"/>
      <c r="B26" s="1"/>
      <c r="C26" s="1"/>
    </row>
  </sheetData>
  <mergeCells count="1">
    <mergeCell ref="A1:C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B16E6-4E3C-CB45-A210-CA82495F17FE}">
  <sheetPr codeName="Feuil2"/>
  <dimension ref="A1:G8"/>
  <sheetViews>
    <sheetView tabSelected="1" zoomScale="140" zoomScaleNormal="140" workbookViewId="0">
      <selection activeCell="B10" sqref="B10"/>
    </sheetView>
  </sheetViews>
  <sheetFormatPr baseColWidth="10" defaultRowHeight="16" x14ac:dyDescent="0.2"/>
  <cols>
    <col min="1" max="1" width="11.33203125" style="9" customWidth="1"/>
    <col min="2" max="2" width="23.6640625" style="9" customWidth="1"/>
    <col min="3" max="3" width="35.83203125" style="11" customWidth="1"/>
    <col min="4" max="4" width="19.6640625" style="9" customWidth="1"/>
    <col min="5" max="5" width="23.6640625" style="27" customWidth="1"/>
    <col min="6" max="6" width="19.33203125" style="27" customWidth="1"/>
    <col min="7" max="7" width="23.6640625" style="27" customWidth="1"/>
    <col min="8" max="16384" width="10.83203125" style="8"/>
  </cols>
  <sheetData>
    <row r="1" spans="1:7" ht="24" customHeight="1" x14ac:dyDescent="0.2">
      <c r="A1" s="13" t="s">
        <v>23</v>
      </c>
      <c r="B1" s="13" t="s">
        <v>21</v>
      </c>
      <c r="C1" s="13" t="s">
        <v>22</v>
      </c>
      <c r="D1" s="13" t="s">
        <v>1</v>
      </c>
      <c r="E1" s="25" t="s">
        <v>24</v>
      </c>
      <c r="F1" s="25" t="s">
        <v>25</v>
      </c>
      <c r="G1" s="25" t="s">
        <v>26</v>
      </c>
    </row>
    <row r="2" spans="1:7" x14ac:dyDescent="0.2">
      <c r="A2" s="9" t="s">
        <v>2</v>
      </c>
      <c r="B2" s="10">
        <v>45988.676516203705</v>
      </c>
      <c r="C2" s="11" t="s">
        <v>8</v>
      </c>
      <c r="D2" s="9">
        <v>10000</v>
      </c>
      <c r="E2" s="26">
        <v>496.43</v>
      </c>
      <c r="F2" s="26">
        <v>3.5</v>
      </c>
      <c r="G2" s="26">
        <v>35000</v>
      </c>
    </row>
    <row r="3" spans="1:7" x14ac:dyDescent="0.2">
      <c r="A3" s="9" t="s">
        <v>5</v>
      </c>
      <c r="B3" s="10">
        <v>45988.677129629628</v>
      </c>
      <c r="C3" s="11" t="s">
        <v>9</v>
      </c>
      <c r="D3" s="12">
        <v>2000</v>
      </c>
      <c r="E3" s="26">
        <v>498.93</v>
      </c>
      <c r="F3" s="26">
        <v>6</v>
      </c>
      <c r="G3" s="26">
        <v>12000</v>
      </c>
    </row>
    <row r="4" spans="1:7" x14ac:dyDescent="0.2">
      <c r="A4" s="9" t="s">
        <v>6</v>
      </c>
      <c r="B4" s="10">
        <v>45988.678344907406</v>
      </c>
      <c r="C4" s="11" t="s">
        <v>10</v>
      </c>
      <c r="D4" s="12">
        <v>5000</v>
      </c>
      <c r="E4" s="26">
        <v>496.93</v>
      </c>
      <c r="F4" s="26">
        <v>4</v>
      </c>
      <c r="G4" s="26">
        <v>20000</v>
      </c>
    </row>
    <row r="5" spans="1:7" x14ac:dyDescent="0.2">
      <c r="A5" s="9" t="s">
        <v>7</v>
      </c>
      <c r="B5" s="10">
        <v>45988.678900462961</v>
      </c>
      <c r="C5" s="11" t="s">
        <v>11</v>
      </c>
      <c r="D5" s="9">
        <v>25000</v>
      </c>
      <c r="E5" s="26">
        <v>494.43</v>
      </c>
      <c r="F5" s="26">
        <v>1.5</v>
      </c>
      <c r="G5" s="26">
        <v>37500</v>
      </c>
    </row>
    <row r="6" spans="1:7" x14ac:dyDescent="0.2">
      <c r="B6" s="10"/>
      <c r="E6" s="28"/>
      <c r="F6" s="28"/>
      <c r="G6" s="28"/>
    </row>
    <row r="7" spans="1:7" x14ac:dyDescent="0.2">
      <c r="B7" s="10"/>
      <c r="E7" s="29"/>
      <c r="F7" s="29"/>
      <c r="G7" s="29"/>
    </row>
    <row r="8" spans="1:7" x14ac:dyDescent="0.2">
      <c r="B8" s="10"/>
      <c r="E8" s="26"/>
      <c r="F8" s="26"/>
      <c r="G8" s="2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PRICER</vt:lpstr>
      <vt:lpstr>DB_TRADES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danilo ZEKOVIK</dc:creator>
  <cp:lastModifiedBy>danilo ZEKOVIK</cp:lastModifiedBy>
  <dcterms:created xsi:type="dcterms:W3CDTF">2025-11-26T19:55:07Z</dcterms:created>
  <dcterms:modified xsi:type="dcterms:W3CDTF">2025-11-28T22:46:01Z</dcterms:modified>
</cp:coreProperties>
</file>